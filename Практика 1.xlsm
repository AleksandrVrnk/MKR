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8800" windowHeight="11700" activeTab="1"/>
  </bookViews>
  <sheets>
    <sheet name="Лист1" sheetId="1" r:id="rId1"/>
    <sheet name="Лист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18" i="2" l="1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D18" i="2"/>
  <c r="E18" i="2"/>
  <c r="F18" i="2"/>
  <c r="G18" i="2"/>
  <c r="H18" i="2"/>
  <c r="I18" i="2"/>
  <c r="J18" i="2"/>
  <c r="K18" i="2"/>
  <c r="L18" i="2"/>
  <c r="B13" i="2"/>
  <c r="C18" i="2" s="1"/>
  <c r="D12" i="2" l="1"/>
  <c r="E12" i="2" s="1"/>
  <c r="F12" i="2" s="1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C12" i="2"/>
  <c r="C2" i="2"/>
  <c r="C3" i="2" s="1"/>
  <c r="AE17" i="2" l="1"/>
  <c r="S17" i="2"/>
  <c r="G17" i="2"/>
  <c r="AD17" i="2"/>
  <c r="R17" i="2"/>
  <c r="F17" i="2"/>
  <c r="AB17" i="2"/>
  <c r="P17" i="2"/>
  <c r="D17" i="2"/>
  <c r="AA17" i="2"/>
  <c r="C17" i="2"/>
  <c r="N17" i="2"/>
  <c r="M17" i="2"/>
  <c r="K17" i="2"/>
  <c r="V17" i="2"/>
  <c r="U17" i="2"/>
  <c r="AC17" i="2"/>
  <c r="Q17" i="2"/>
  <c r="E17" i="2"/>
  <c r="O17" i="2"/>
  <c r="Z17" i="2"/>
  <c r="Y17" i="2"/>
  <c r="X17" i="2"/>
  <c r="L17" i="2"/>
  <c r="W17" i="2"/>
  <c r="J17" i="2"/>
  <c r="I17" i="2"/>
  <c r="T17" i="2"/>
  <c r="H17" i="2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3" i="1"/>
  <c r="AF13" i="1"/>
  <c r="B13" i="1"/>
  <c r="C17" i="1" s="1"/>
  <c r="D12" i="1"/>
  <c r="E12" i="1" s="1"/>
  <c r="F12" i="1" s="1"/>
  <c r="G12" i="1" s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C12" i="1"/>
  <c r="C2" i="1"/>
</calcChain>
</file>

<file path=xl/sharedStrings.xml><?xml version="1.0" encoding="utf-8"?>
<sst xmlns="http://schemas.openxmlformats.org/spreadsheetml/2006/main" count="27" uniqueCount="15">
  <si>
    <t>1-й порядок</t>
  </si>
  <si>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</si>
  <si>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</si>
  <si>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</si>
  <si>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</si>
  <si>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</si>
  <si>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</si>
  <si>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</si>
  <si>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</si>
  <si>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</si>
  <si>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</si>
  <si>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</si>
  <si>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2-й порядок</t>
  </si>
  <si>
    <t>q</t>
  </si>
  <si>
    <t>q_start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</si>
</sst>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0"/>
    <numFmt numFmtId="165" formatCode="0.0000"/>
    <numFmt numFmtId="170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/>
    <xf numFmtId="165" fontId="0" fillId="0" borderId="0" xfId="0" applyNumberFormat="1" applyBorder="1" applyAlignment="1">
      <alignment horizontal="center"/>
    </xf>
    <xf numFmtId="170" fontId="0" fillId="0" borderId="2" xfId="0" applyNumberFormat="1" applyBorder="1" applyAlignment="1">
      <alignment horizontal="center"/>
    </xf>
    <xf numFmtId="170" fontId="0" fillId="0" borderId="4" xfId="0" applyNumberFormat="1" applyBorder="1" applyAlignment="1">
      <alignment horizontal="center"/>
    </xf>
    <xf numFmtId="2" fontId="0" fillId="0" borderId="0" xfId="0" applyNumberFormat="1"/>
    <xf numFmtId="1" fontId="0" fillId="0" borderId="0" xfId="0" applyNumberFormat="1"/>
    <xf numFmtId="1" fontId="0" fillId="0" borderId="4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0" xfId="0" applyNumberForma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Лист1!$B$12:$AF$12</c:f>
              <c:numCache>
                <c:formatCode>0.0000</c:formatCode>
                <c:ptCount val="31"/>
                <c:pt idx="0" formatCode="0.0000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Лист1!$B$13:$AF$13</c:f>
              <c:numCache>
                <c:formatCode>General</c:formatCode>
                <c:ptCount val="31"/>
                <c:pt idx="0">
                  <c:v>300</c:v>
                </c:pt>
                <c:pt idx="1">
                  <c:v>292.06176393251263</c:v>
                </c:pt>
                <c:pt idx="2">
                  <c:v>284.15131886848337</c:v>
                </c:pt>
                <c:pt idx="3">
                  <c:v>276.24087380445417</c:v>
                </c:pt>
                <c:pt idx="4">
                  <c:v>268.41258643107915</c:v>
                </c:pt>
                <c:pt idx="5">
                  <c:v>260.58429905770419</c:v>
                </c:pt>
                <c:pt idx="6">
                  <c:v>252.88894334273334</c:v>
                </c:pt>
                <c:pt idx="7">
                  <c:v>245.1935876277625</c:v>
                </c:pt>
                <c:pt idx="8">
                  <c:v>237.67612479057308</c:v>
                </c:pt>
                <c:pt idx="9">
                  <c:v>230.15866195338367</c:v>
                </c:pt>
                <c:pt idx="10">
                  <c:v>222.85627499926397</c:v>
                </c:pt>
                <c:pt idx="11">
                  <c:v>215.55388804514428</c:v>
                </c:pt>
                <c:pt idx="12">
                  <c:v>208.49435683995986</c:v>
                </c:pt>
                <c:pt idx="13">
                  <c:v>201.43482563477545</c:v>
                </c:pt>
                <c:pt idx="14">
                  <c:v>194.63531351104271</c:v>
                </c:pt>
                <c:pt idx="15">
                  <c:v>187.83580138730994</c:v>
                </c:pt>
                <c:pt idx="16">
                  <c:v>181.30210618840269</c:v>
                </c:pt>
                <c:pt idx="17">
                  <c:v>174.76841098949538</c:v>
                </c:pt>
                <c:pt idx="18">
                  <c:v>168.4947130836461</c:v>
                </c:pt>
                <c:pt idx="19">
                  <c:v>162.2210151777968</c:v>
                </c:pt>
                <c:pt idx="20">
                  <c:v>156.19013321150675</c:v>
                </c:pt>
                <c:pt idx="21">
                  <c:v>150.15925124521667</c:v>
                </c:pt>
                <c:pt idx="22">
                  <c:v>144.3433942150406</c:v>
                </c:pt>
                <c:pt idx="23">
                  <c:v>138.52753718486446</c:v>
                </c:pt>
                <c:pt idx="24">
                  <c:v>132.88951975712592</c:v>
                </c:pt>
                <c:pt idx="25">
                  <c:v>127.25150232938732</c:v>
                </c:pt>
                <c:pt idx="26">
                  <c:v>121.74637016811182</c:v>
                </c:pt>
                <c:pt idx="27">
                  <c:v>116.24123800683624</c:v>
                </c:pt>
                <c:pt idx="28">
                  <c:v>110.81823204926469</c:v>
                </c:pt>
                <c:pt idx="29">
                  <c:v>105.3952260916931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84-4BA6-B589-3B740767B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939760"/>
        <c:axId val="408946000"/>
      </c:scatterChart>
      <c:valAx>
        <c:axId val="4089397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8946000"/>
        <c:crosses val="autoZero"/>
        <c:crossBetween val="midCat"/>
      </c:valAx>
      <c:valAx>
        <c:axId val="4089460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8939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Лист2!$B$12:$AF$12</c:f>
              <c:numCache>
                <c:formatCode>0.0000</c:formatCode>
                <c:ptCount val="31"/>
                <c:pt idx="0" formatCode="0.0000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Лист2!$B$13:$AF$13</c:f>
              <c:numCache>
                <c:formatCode>0.00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AF-4320-AB11-F75236B16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277792"/>
        <c:axId val="266276960"/>
      </c:scatterChart>
      <c:valAx>
        <c:axId val="266277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6276960"/>
        <c:crosses val="autoZero"/>
        <c:crossBetween val="midCat"/>
      </c:valAx>
      <c:valAx>
        <c:axId val="26627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6277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190499</xdr:rowOff>
    </xdr:from>
    <xdr:to>
      <xdr:col>10</xdr:col>
      <xdr:colOff>19050</xdr:colOff>
      <xdr:row>38</xdr:row>
      <xdr:rowOff>28574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0.01157</cdr:x>
      <cdr:y>0.01393</cdr:y>
    </cdr:from>
    <cdr:to>
      <cdr:x>0.10412</cdr:x>
      <cdr:y>0.10966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3"/>
            <cdr:cNvSpPr txBox="1"/>
          </cdr:nvSpPr>
          <cdr:spPr>
            <a:xfrm xmlns:a="http://schemas.openxmlformats.org/drawingml/2006/main">
              <a:off x="50800" y="50800"/>
              <a:ext cx="406399" cy="349251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</m:d>
                  </m:oMath>
                </m:oMathPara>
              </a14:m>
              <a:endParaRPr lang="ru-RU" sz="1100"/>
            </a:p>
          </cdr:txBody>
        </cdr:sp>
      </mc:Choice>
      <mc:Fallback xmlns="">
        <cdr:sp macro="" textlink="">
          <cdr:nvSpPr>
            <cdr:cNvPr id="2" name="TextBox 3"/>
            <cdr:cNvSpPr txBox="1"/>
          </cdr:nvSpPr>
          <cdr:spPr>
            <a:xfrm xmlns:a="http://schemas.openxmlformats.org/drawingml/2006/main">
              <a:off x="50800" y="50800"/>
              <a:ext cx="406399" cy="349251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100" b="0" i="0">
                  <a:latin typeface="Cambria Math" panose="02040503050406030204" pitchFamily="18" charset="0"/>
                </a:rPr>
                <a:t>𝑇,[𝐶]</a:t>
              </a:r>
              <a:endParaRPr lang="ru-RU" sz="1100"/>
            </a:p>
          </cdr:txBody>
        </cdr:sp>
      </mc:Fallback>
    </mc:AlternateContent>
  </cdr:relSizeAnchor>
  <cdr:relSizeAnchor xmlns:cdr="http://schemas.openxmlformats.org/drawingml/2006/chartDrawing">
    <cdr:from>
      <cdr:x>0.89877</cdr:x>
      <cdr:y>0.92776</cdr:y>
    </cdr:from>
    <cdr:to>
      <cdr:x>0.97624</cdr:x>
      <cdr:y>0.97497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3"/>
            <cdr:cNvSpPr txBox="1"/>
          </cdr:nvSpPr>
          <cdr:spPr>
            <a:xfrm xmlns:a="http://schemas.openxmlformats.org/drawingml/2006/main">
              <a:off x="3946525" y="3384550"/>
              <a:ext cx="34015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100" b="0"/>
                <a:t>L</a:t>
              </a:r>
              <a14:m>
                <m:oMath xmlns:m="http://schemas.openxmlformats.org/officeDocument/2006/math">
                  <m:r>
                    <a:rPr lang="en-US" sz="1100" b="0" i="1">
                      <a:latin typeface="Cambria Math" panose="02040503050406030204" pitchFamily="18" charset="0"/>
                    </a:rPr>
                    <m:t>,</m:t>
                  </m:r>
                  <m:d>
                    <m:dPr>
                      <m:begChr m:val="["/>
                      <m:endChr m:val="]"/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𝑚</m:t>
                      </m:r>
                    </m:e>
                  </m:d>
                </m:oMath>
              </a14:m>
              <a:endParaRPr lang="ru-RU" sz="1100"/>
            </a:p>
          </cdr:txBody>
        </cdr:sp>
      </mc:Choice>
      <mc:Fallback xmlns="">
        <cdr:sp macro="" textlink="">
          <cdr:nvSpPr>
            <cdr:cNvPr id="3" name="TextBox 3"/>
            <cdr:cNvSpPr txBox="1"/>
          </cdr:nvSpPr>
          <cdr:spPr>
            <a:xfrm xmlns:a="http://schemas.openxmlformats.org/drawingml/2006/main">
              <a:off x="3946525" y="3384550"/>
              <a:ext cx="34015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100" b="0"/>
                <a:t>L</a:t>
              </a:r>
              <a:r>
                <a:rPr lang="en-US" sz="1100" b="0" i="0">
                  <a:latin typeface="Cambria Math" panose="02040503050406030204" pitchFamily="18" charset="0"/>
                </a:rPr>
                <a:t>,[𝑚]</a:t>
              </a:r>
              <a:endParaRPr lang="ru-RU" sz="1100"/>
            </a:p>
          </cdr:txBody>
        </cdr:sp>
      </mc:Fallback>
    </mc:AlternateContent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1104900</xdr:colOff>
      <xdr:row>19</xdr:row>
      <xdr:rowOff>28574</xdr:rowOff>
    </xdr:from>
    <xdr:to>
      <xdr:col>12</xdr:col>
      <xdr:colOff>9525</xdr:colOff>
      <xdr:row>35</xdr:row>
      <xdr:rowOff>190499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66675</xdr:colOff>
      <xdr:row>19</xdr:row>
      <xdr:rowOff>66675</xdr:rowOff>
    </xdr:from>
    <xdr:to>
      <xdr:col>1</xdr:col>
      <xdr:colOff>473065</xdr:colOff>
      <xdr:row>21</xdr:row>
      <xdr:rowOff>34905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3"/>
            <xdr:cNvSpPr txBox="1"/>
          </xdr:nvSpPr>
          <xdr:spPr>
            <a:xfrm>
              <a:off x="1190625" y="3695700"/>
              <a:ext cx="406390" cy="34923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</m:d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3" name="TextBox 3"/>
            <xdr:cNvSpPr txBox="1"/>
          </xdr:nvSpPr>
          <xdr:spPr>
            <a:xfrm>
              <a:off x="1190625" y="3695700"/>
              <a:ext cx="406390" cy="34923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𝑇,[𝐶]</a:t>
              </a:r>
              <a:endParaRPr lang="ru-RU" sz="1100"/>
            </a:p>
          </xdr:txBody>
        </xdr:sp>
      </mc:Fallback>
    </mc:AlternateContent>
    <xdr:clientData/>
  </xdr:twoCellAnchor>
  <xdr:twoCellAnchor>
    <xdr:from>
      <xdr:col>10</xdr:col>
      <xdr:colOff>323849</xdr:colOff>
      <xdr:row>34</xdr:row>
      <xdr:rowOff>142874</xdr:rowOff>
    </xdr:from>
    <xdr:to>
      <xdr:col>11</xdr:col>
      <xdr:colOff>409574</xdr:colOff>
      <xdr:row>35</xdr:row>
      <xdr:rowOff>190499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5857874" y="6629399"/>
              <a:ext cx="523875" cy="238125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100" b="0"/>
                <a:t>L</a:t>
              </a:r>
              <a14:m>
                <m:oMath xmlns:m="http://schemas.openxmlformats.org/officeDocument/2006/math">
                  <m:r>
                    <a:rPr lang="en-US" sz="1100" b="0" i="1">
                      <a:latin typeface="Cambria Math" panose="02040503050406030204" pitchFamily="18" charset="0"/>
                    </a:rPr>
                    <m:t>,</m:t>
                  </m:r>
                  <m:d>
                    <m:dPr>
                      <m:begChr m:val="["/>
                      <m:endChr m:val="]"/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𝑚</m:t>
                      </m:r>
                    </m:e>
                  </m:d>
                </m:oMath>
              </a14:m>
              <a:endParaRPr lang="ru-RU" sz="1100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5857874" y="6629399"/>
              <a:ext cx="523875" cy="238125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100" b="0"/>
                <a:t>L</a:t>
              </a:r>
              <a:r>
                <a:rPr lang="en-US" sz="1100" b="0" i="0">
                  <a:latin typeface="Cambria Math" panose="02040503050406030204" pitchFamily="18" charset="0"/>
                </a:rPr>
                <a:t>,[𝑚]</a:t>
              </a:r>
              <a:endParaRPr lang="ru-RU" sz="1100"/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F17"/>
  <sheetViews>
    <sheetView topLeftCell="A7" workbookViewId="0">
      <selection activeCell="P22" sqref="P22"/>
    </sheetView>
  </sheetViews>
  <sheetFormatPr defaultRowHeight="15" x14ac:dyDescent="0.25"/>
  <cols>
    <col min="1" max="1" width="16.28515625" customWidth="1"/>
    <col min="2" max="2" width="7.5703125" bestFit="1" customWidth="1"/>
    <col min="3" max="3" width="12" bestFit="1" customWidth="1"/>
    <col min="4" max="32" width="6.5703125" bestFit="1" customWidth="1"/>
  </cols>
  <sheetData>
    <row r="1" spans="1:32" x14ac:dyDescent="0.25">
      <c r="A1" t="s">
        <v>0</v>
      </c>
      <c r="B1" s="1" t="s">
        <v>1</v>
      </c>
      <c r="C1" s="2">
        <v>0.1</v>
      </c>
    </row>
    <row r="2" spans="1:32" x14ac:dyDescent="0.25">
      <c r="B2" s="3" t="s">
        <v>2</v>
      </c>
      <c r="C2" s="4">
        <f>C1/30</f>
        <v>3.3333333333333335E-3</v>
      </c>
    </row>
    <row r="3" spans="1:32" x14ac:dyDescent="0.25">
      <c r="B3" s="3" t="s">
        <v>3</v>
      </c>
      <c r="C3" s="5">
        <f>(C7*C6*C2^2)/(2*C8)</f>
        <v>0.4333333333333334</v>
      </c>
    </row>
    <row r="4" spans="1:32" x14ac:dyDescent="0.25">
      <c r="B4" s="3" t="s">
        <v>4</v>
      </c>
      <c r="C4" s="5">
        <v>120</v>
      </c>
      <c r="D4">
        <v>120.03333333333336</v>
      </c>
    </row>
    <row r="5" spans="1:32" x14ac:dyDescent="0.25">
      <c r="B5" s="6"/>
      <c r="C5" s="6"/>
    </row>
    <row r="6" spans="1:32" x14ac:dyDescent="0.25">
      <c r="B6" s="3" t="s">
        <v>5</v>
      </c>
      <c r="C6" s="5">
        <v>460</v>
      </c>
    </row>
    <row r="7" spans="1:32" x14ac:dyDescent="0.25">
      <c r="B7" s="3" t="s">
        <v>6</v>
      </c>
      <c r="C7" s="5">
        <v>7800</v>
      </c>
    </row>
    <row r="8" spans="1:32" ht="15.75" thickBot="1" x14ac:dyDescent="0.3">
      <c r="B8" s="7" t="s">
        <v>7</v>
      </c>
      <c r="C8" s="8">
        <v>46</v>
      </c>
    </row>
    <row r="11" spans="1:32" x14ac:dyDescent="0.25">
      <c r="B11" s="9">
        <v>1</v>
      </c>
      <c r="C11" s="9">
        <v>2</v>
      </c>
      <c r="D11" s="9">
        <v>3</v>
      </c>
      <c r="E11" s="9">
        <v>4</v>
      </c>
      <c r="F11" s="9">
        <v>5</v>
      </c>
      <c r="G11" s="9">
        <v>6</v>
      </c>
      <c r="H11" s="9">
        <v>7</v>
      </c>
      <c r="I11" s="9">
        <v>8</v>
      </c>
      <c r="J11" s="9">
        <v>9</v>
      </c>
      <c r="K11" s="9">
        <v>10</v>
      </c>
      <c r="L11" s="9">
        <v>11</v>
      </c>
      <c r="M11" s="9">
        <v>12</v>
      </c>
      <c r="N11" s="9">
        <v>13</v>
      </c>
      <c r="O11" s="9">
        <v>14</v>
      </c>
      <c r="P11" s="9">
        <v>15</v>
      </c>
      <c r="Q11" s="9">
        <v>16</v>
      </c>
      <c r="R11" s="9">
        <v>17</v>
      </c>
      <c r="S11" s="9">
        <v>18</v>
      </c>
      <c r="T11" s="9">
        <v>19</v>
      </c>
      <c r="U11" s="9">
        <v>20</v>
      </c>
      <c r="V11" s="9">
        <v>21</v>
      </c>
      <c r="W11" s="9">
        <v>22</v>
      </c>
      <c r="X11" s="9">
        <v>23</v>
      </c>
      <c r="Y11" s="9">
        <v>24</v>
      </c>
      <c r="Z11" s="9">
        <v>25</v>
      </c>
      <c r="AA11" s="9">
        <v>26</v>
      </c>
      <c r="AB11" s="9">
        <v>27</v>
      </c>
      <c r="AC11" s="9">
        <v>28</v>
      </c>
      <c r="AD11" s="9">
        <v>29</v>
      </c>
      <c r="AE11" s="9">
        <v>30</v>
      </c>
      <c r="AF11" s="9">
        <v>31</v>
      </c>
    </row>
    <row r="12" spans="1:32" x14ac:dyDescent="0.25">
      <c r="A12" s="9" t="s">
        <v>1</v>
      </c>
      <c r="B12" s="10">
        <v>0</v>
      </c>
      <c r="C12" s="11">
        <f>B12+$C$2</f>
        <v>3.3333333333333335E-3</v>
      </c>
      <c r="D12" s="11">
        <f t="shared" ref="D12:AF12" si="0">C12+$C$2</f>
        <v>6.6666666666666671E-3</v>
      </c>
      <c r="E12" s="11">
        <f t="shared" si="0"/>
        <v>0.01</v>
      </c>
      <c r="F12" s="11">
        <f t="shared" si="0"/>
        <v>1.3333333333333334E-2</v>
      </c>
      <c r="G12" s="11">
        <f t="shared" si="0"/>
        <v>1.6666666666666666E-2</v>
      </c>
      <c r="H12" s="11">
        <f t="shared" si="0"/>
        <v>0.02</v>
      </c>
      <c r="I12" s="11">
        <f t="shared" si="0"/>
        <v>2.3333333333333334E-2</v>
      </c>
      <c r="J12" s="11">
        <f t="shared" si="0"/>
        <v>2.6666666666666668E-2</v>
      </c>
      <c r="K12" s="11">
        <f t="shared" si="0"/>
        <v>3.0000000000000002E-2</v>
      </c>
      <c r="L12" s="11">
        <f t="shared" si="0"/>
        <v>3.3333333333333333E-2</v>
      </c>
      <c r="M12" s="11">
        <f t="shared" si="0"/>
        <v>3.6666666666666667E-2</v>
      </c>
      <c r="N12" s="11">
        <f t="shared" si="0"/>
        <v>0.04</v>
      </c>
      <c r="O12" s="11">
        <f t="shared" si="0"/>
        <v>4.3333333333333335E-2</v>
      </c>
      <c r="P12" s="11">
        <f t="shared" si="0"/>
        <v>4.6666666666666669E-2</v>
      </c>
      <c r="Q12" s="11">
        <f t="shared" si="0"/>
        <v>0.05</v>
      </c>
      <c r="R12" s="11">
        <f t="shared" si="0"/>
        <v>5.3333333333333337E-2</v>
      </c>
      <c r="S12" s="11">
        <f t="shared" si="0"/>
        <v>5.6666666666666671E-2</v>
      </c>
      <c r="T12" s="11">
        <f t="shared" si="0"/>
        <v>6.0000000000000005E-2</v>
      </c>
      <c r="U12" s="11">
        <f t="shared" si="0"/>
        <v>6.3333333333333339E-2</v>
      </c>
      <c r="V12" s="11">
        <f t="shared" si="0"/>
        <v>6.6666666666666666E-2</v>
      </c>
      <c r="W12" s="11">
        <f t="shared" si="0"/>
        <v>6.9999999999999993E-2</v>
      </c>
      <c r="X12" s="11">
        <f t="shared" si="0"/>
        <v>7.333333333333332E-2</v>
      </c>
      <c r="Y12" s="11">
        <f t="shared" si="0"/>
        <v>7.6666666666666647E-2</v>
      </c>
      <c r="Z12" s="11">
        <f t="shared" si="0"/>
        <v>7.9999999999999974E-2</v>
      </c>
      <c r="AA12" s="11">
        <f t="shared" si="0"/>
        <v>8.3333333333333301E-2</v>
      </c>
      <c r="AB12" s="11">
        <f t="shared" si="0"/>
        <v>8.6666666666666628E-2</v>
      </c>
      <c r="AC12" s="11">
        <f t="shared" si="0"/>
        <v>8.9999999999999955E-2</v>
      </c>
      <c r="AD12" s="11">
        <f t="shared" si="0"/>
        <v>9.3333333333333282E-2</v>
      </c>
      <c r="AE12" s="11">
        <f t="shared" si="0"/>
        <v>9.6666666666666609E-2</v>
      </c>
      <c r="AF12" s="11">
        <f t="shared" si="0"/>
        <v>9.9999999999999936E-2</v>
      </c>
    </row>
    <row r="13" spans="1:32" x14ac:dyDescent="0.25">
      <c r="A13" s="9" t="s">
        <v>8</v>
      </c>
      <c r="B13" s="9">
        <f>B15</f>
        <v>300</v>
      </c>
      <c r="C13" s="9">
        <v>292.06176393251263</v>
      </c>
      <c r="D13" s="9">
        <v>284.15131886848337</v>
      </c>
      <c r="E13" s="9">
        <v>276.24087380445417</v>
      </c>
      <c r="F13" s="9">
        <v>268.41258643107915</v>
      </c>
      <c r="G13" s="9">
        <v>260.58429905770419</v>
      </c>
      <c r="H13" s="9">
        <v>252.88894334273334</v>
      </c>
      <c r="I13" s="9">
        <v>245.1935876277625</v>
      </c>
      <c r="J13" s="9">
        <v>237.67612479057308</v>
      </c>
      <c r="K13" s="9">
        <v>230.15866195338367</v>
      </c>
      <c r="L13" s="9">
        <v>222.85627499926397</v>
      </c>
      <c r="M13" s="9">
        <v>215.55388804514428</v>
      </c>
      <c r="N13" s="9">
        <v>208.49435683995986</v>
      </c>
      <c r="O13" s="9">
        <v>201.43482563477545</v>
      </c>
      <c r="P13" s="9">
        <v>194.63531351104271</v>
      </c>
      <c r="Q13" s="9">
        <v>187.83580138730994</v>
      </c>
      <c r="R13" s="9">
        <v>181.30210618840269</v>
      </c>
      <c r="S13" s="9">
        <v>174.76841098949538</v>
      </c>
      <c r="T13" s="9">
        <v>168.4947130836461</v>
      </c>
      <c r="U13" s="9">
        <v>162.2210151777968</v>
      </c>
      <c r="V13" s="9">
        <v>156.19013321150675</v>
      </c>
      <c r="W13" s="9">
        <v>150.15925124521667</v>
      </c>
      <c r="X13" s="9">
        <v>144.3433942150406</v>
      </c>
      <c r="Y13" s="9">
        <v>138.52753718486446</v>
      </c>
      <c r="Z13" s="9">
        <v>132.88951975712592</v>
      </c>
      <c r="AA13" s="9">
        <v>127.25150232938732</v>
      </c>
      <c r="AB13" s="9">
        <v>121.74637016811182</v>
      </c>
      <c r="AC13" s="9">
        <v>116.24123800683624</v>
      </c>
      <c r="AD13" s="9">
        <v>110.81823204926469</v>
      </c>
      <c r="AE13" s="9">
        <v>105.3952260916931</v>
      </c>
      <c r="AF13" s="9">
        <f>B16</f>
        <v>100</v>
      </c>
    </row>
    <row r="14" spans="1:32" x14ac:dyDescent="0.25">
      <c r="A14" s="9"/>
      <c r="B14" s="9"/>
    </row>
    <row r="15" spans="1:32" x14ac:dyDescent="0.25">
      <c r="A15" s="9" t="s">
        <v>9</v>
      </c>
      <c r="B15" s="9">
        <v>300</v>
      </c>
    </row>
    <row r="16" spans="1:32" x14ac:dyDescent="0.25">
      <c r="A16" s="9" t="s">
        <v>10</v>
      </c>
      <c r="B16" s="9">
        <v>100</v>
      </c>
    </row>
    <row r="17" spans="1:31" x14ac:dyDescent="0.25">
      <c r="A17" s="9" t="s">
        <v>11</v>
      </c>
      <c r="B17" s="9"/>
      <c r="C17">
        <f>C13+(($C$8*$C$3)/($C$7*$C$6))*((D13-2*C13+B13)/($C$2^2))</f>
        <v>292.07565943424169</v>
      </c>
      <c r="D17">
        <f t="shared" ref="D17:AE17" si="1">D13+(($C$8*$C$3)/($C$7*$C$6))*((E13-2*D13+C13)/($C$2^2))</f>
        <v>284.15131886848337</v>
      </c>
      <c r="E17">
        <f t="shared" si="1"/>
        <v>276.28195264978126</v>
      </c>
      <c r="F17">
        <f t="shared" si="1"/>
        <v>268.41258643107915</v>
      </c>
      <c r="G17">
        <f t="shared" si="1"/>
        <v>260.65076488690625</v>
      </c>
      <c r="H17">
        <f t="shared" si="1"/>
        <v>252.88894334273334</v>
      </c>
      <c r="I17">
        <f t="shared" si="1"/>
        <v>245.28253406665323</v>
      </c>
      <c r="J17">
        <f t="shared" si="1"/>
        <v>237.67612479057308</v>
      </c>
      <c r="K17">
        <f t="shared" si="1"/>
        <v>230.26619989491854</v>
      </c>
      <c r="L17">
        <f t="shared" si="1"/>
        <v>222.85627499926397</v>
      </c>
      <c r="M17">
        <f t="shared" si="1"/>
        <v>215.67531591961193</v>
      </c>
      <c r="N17">
        <f t="shared" si="1"/>
        <v>208.49435683995986</v>
      </c>
      <c r="O17">
        <f t="shared" si="1"/>
        <v>201.56483517550129</v>
      </c>
      <c r="P17">
        <f t="shared" si="1"/>
        <v>194.63531351104268</v>
      </c>
      <c r="Q17">
        <f t="shared" si="1"/>
        <v>187.9687098497227</v>
      </c>
      <c r="R17">
        <f t="shared" si="1"/>
        <v>181.30210618840266</v>
      </c>
      <c r="S17">
        <f t="shared" si="1"/>
        <v>174.89840963602438</v>
      </c>
      <c r="T17">
        <f t="shared" si="1"/>
        <v>168.4947130836461</v>
      </c>
      <c r="U17">
        <f t="shared" si="1"/>
        <v>162.34242314757643</v>
      </c>
      <c r="V17">
        <f t="shared" si="1"/>
        <v>156.19013321150675</v>
      </c>
      <c r="W17">
        <f t="shared" si="1"/>
        <v>150.26676371327369</v>
      </c>
      <c r="X17">
        <f t="shared" si="1"/>
        <v>144.34339421504058</v>
      </c>
      <c r="Y17">
        <f t="shared" si="1"/>
        <v>138.61645698608328</v>
      </c>
      <c r="Z17">
        <f t="shared" si="1"/>
        <v>132.8895197571259</v>
      </c>
      <c r="AA17">
        <f t="shared" si="1"/>
        <v>127.31794496261888</v>
      </c>
      <c r="AB17">
        <f t="shared" si="1"/>
        <v>121.74637016811178</v>
      </c>
      <c r="AC17">
        <f t="shared" si="1"/>
        <v>116.28230110868826</v>
      </c>
      <c r="AD17">
        <f t="shared" si="1"/>
        <v>110.81823204926468</v>
      </c>
      <c r="AE17">
        <f t="shared" si="1"/>
        <v>105.40911602463234</v>
      </c>
    </row>
  </sheetData>
  <conditionalFormatting sqref="B13:AF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8"/>
  <sheetViews>
    <sheetView tabSelected="1" workbookViewId="0">
      <selection activeCell="N37" sqref="N37"/>
    </sheetView>
  </sheetViews>
  <sheetFormatPr defaultRowHeight="15" x14ac:dyDescent="0.25"/>
  <cols>
    <col min="1" max="1" width="16.85546875" customWidth="1"/>
    <col min="2" max="3" width="8.5703125" bestFit="1" customWidth="1"/>
    <col min="4" max="4" width="9.5703125" bestFit="1" customWidth="1"/>
    <col min="5" max="32" width="6.5703125" bestFit="1" customWidth="1"/>
  </cols>
  <sheetData>
    <row r="1" spans="1:32" x14ac:dyDescent="0.25">
      <c r="A1" t="s">
        <v>12</v>
      </c>
      <c r="B1" s="1" t="s">
        <v>1</v>
      </c>
      <c r="C1" s="15">
        <v>0.1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</row>
    <row r="2" spans="1:32" x14ac:dyDescent="0.25">
      <c r="B2" s="3" t="s">
        <v>2</v>
      </c>
      <c r="C2" s="16">
        <f>C1/30</f>
        <v>3.3333333333333335E-3</v>
      </c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</row>
    <row r="3" spans="1:32" x14ac:dyDescent="0.25">
      <c r="B3" s="3" t="s">
        <v>3</v>
      </c>
      <c r="C3" s="16">
        <f>(C7*C6*C2^2)/(2*C8)</f>
        <v>0.4333333333333334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</row>
    <row r="4" spans="1:32" x14ac:dyDescent="0.25">
      <c r="B4" s="3" t="s">
        <v>4</v>
      </c>
      <c r="C4" s="16">
        <v>5000</v>
      </c>
      <c r="D4" s="13">
        <v>5000.2333333333345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</row>
    <row r="5" spans="1:32" x14ac:dyDescent="0.25">
      <c r="B5" s="6"/>
      <c r="C5" s="14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</row>
    <row r="6" spans="1:32" x14ac:dyDescent="0.25">
      <c r="B6" s="3" t="s">
        <v>5</v>
      </c>
      <c r="C6" s="19">
        <v>460</v>
      </c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</row>
    <row r="7" spans="1:32" x14ac:dyDescent="0.25">
      <c r="B7" s="3" t="s">
        <v>6</v>
      </c>
      <c r="C7" s="19">
        <v>7800</v>
      </c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</row>
    <row r="8" spans="1:32" ht="15.75" thickBot="1" x14ac:dyDescent="0.3">
      <c r="B8" s="7" t="s">
        <v>7</v>
      </c>
      <c r="C8" s="20">
        <v>46</v>
      </c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</row>
    <row r="9" spans="1:32" x14ac:dyDescent="0.25"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</row>
    <row r="10" spans="1:32" x14ac:dyDescent="0.25"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</row>
    <row r="11" spans="1:32" x14ac:dyDescent="0.25">
      <c r="B11" s="21">
        <v>1</v>
      </c>
      <c r="C11" s="21">
        <v>2</v>
      </c>
      <c r="D11" s="21">
        <v>3</v>
      </c>
      <c r="E11" s="21">
        <v>4</v>
      </c>
      <c r="F11" s="21">
        <v>5</v>
      </c>
      <c r="G11" s="21">
        <v>6</v>
      </c>
      <c r="H11" s="21">
        <v>7</v>
      </c>
      <c r="I11" s="21">
        <v>8</v>
      </c>
      <c r="J11" s="21">
        <v>9</v>
      </c>
      <c r="K11" s="21">
        <v>10</v>
      </c>
      <c r="L11" s="21">
        <v>11</v>
      </c>
      <c r="M11" s="21">
        <v>12</v>
      </c>
      <c r="N11" s="21">
        <v>13</v>
      </c>
      <c r="O11" s="21">
        <v>14</v>
      </c>
      <c r="P11" s="21">
        <v>15</v>
      </c>
      <c r="Q11" s="21">
        <v>16</v>
      </c>
      <c r="R11" s="21">
        <v>17</v>
      </c>
      <c r="S11" s="21">
        <v>18</v>
      </c>
      <c r="T11" s="21">
        <v>19</v>
      </c>
      <c r="U11" s="21">
        <v>20</v>
      </c>
      <c r="V11" s="21">
        <v>21</v>
      </c>
      <c r="W11" s="21">
        <v>22</v>
      </c>
      <c r="X11" s="21">
        <v>23</v>
      </c>
      <c r="Y11" s="21">
        <v>24</v>
      </c>
      <c r="Z11" s="21">
        <v>25</v>
      </c>
      <c r="AA11" s="21">
        <v>26</v>
      </c>
      <c r="AB11" s="21">
        <v>27</v>
      </c>
      <c r="AC11" s="21">
        <v>28</v>
      </c>
      <c r="AD11" s="21">
        <v>29</v>
      </c>
      <c r="AE11" s="21">
        <v>30</v>
      </c>
      <c r="AF11" s="21">
        <v>31</v>
      </c>
    </row>
    <row r="12" spans="1:32" x14ac:dyDescent="0.25">
      <c r="A12" s="9" t="s">
        <v>1</v>
      </c>
      <c r="B12" s="10">
        <v>0</v>
      </c>
      <c r="C12" s="11">
        <f>B12+$C$2</f>
        <v>3.3333333333333335E-3</v>
      </c>
      <c r="D12" s="11">
        <f t="shared" ref="D12:AF12" si="0">C12+$C$2</f>
        <v>6.6666666666666671E-3</v>
      </c>
      <c r="E12" s="11">
        <f t="shared" si="0"/>
        <v>0.01</v>
      </c>
      <c r="F12" s="11">
        <f t="shared" si="0"/>
        <v>1.3333333333333334E-2</v>
      </c>
      <c r="G12" s="11">
        <f t="shared" si="0"/>
        <v>1.6666666666666666E-2</v>
      </c>
      <c r="H12" s="11">
        <f t="shared" si="0"/>
        <v>0.02</v>
      </c>
      <c r="I12" s="11">
        <f t="shared" si="0"/>
        <v>2.3333333333333334E-2</v>
      </c>
      <c r="J12" s="11">
        <f t="shared" si="0"/>
        <v>2.6666666666666668E-2</v>
      </c>
      <c r="K12" s="11">
        <f t="shared" si="0"/>
        <v>3.0000000000000002E-2</v>
      </c>
      <c r="L12" s="11">
        <f t="shared" si="0"/>
        <v>3.3333333333333333E-2</v>
      </c>
      <c r="M12" s="11">
        <f t="shared" si="0"/>
        <v>3.6666666666666667E-2</v>
      </c>
      <c r="N12" s="11">
        <f t="shared" si="0"/>
        <v>0.04</v>
      </c>
      <c r="O12" s="11">
        <f t="shared" si="0"/>
        <v>4.3333333333333335E-2</v>
      </c>
      <c r="P12" s="11">
        <f t="shared" si="0"/>
        <v>4.6666666666666669E-2</v>
      </c>
      <c r="Q12" s="11">
        <f t="shared" si="0"/>
        <v>0.05</v>
      </c>
      <c r="R12" s="11">
        <f t="shared" si="0"/>
        <v>5.3333333333333337E-2</v>
      </c>
      <c r="S12" s="11">
        <f t="shared" si="0"/>
        <v>5.6666666666666671E-2</v>
      </c>
      <c r="T12" s="11">
        <f t="shared" si="0"/>
        <v>6.0000000000000005E-2</v>
      </c>
      <c r="U12" s="11">
        <f t="shared" si="0"/>
        <v>6.3333333333333339E-2</v>
      </c>
      <c r="V12" s="11">
        <f t="shared" si="0"/>
        <v>6.6666666666666666E-2</v>
      </c>
      <c r="W12" s="11">
        <f t="shared" si="0"/>
        <v>6.9999999999999993E-2</v>
      </c>
      <c r="X12" s="11">
        <f t="shared" si="0"/>
        <v>7.333333333333332E-2</v>
      </c>
      <c r="Y12" s="11">
        <f t="shared" si="0"/>
        <v>7.6666666666666647E-2</v>
      </c>
      <c r="Z12" s="11">
        <f t="shared" si="0"/>
        <v>7.9999999999999974E-2</v>
      </c>
      <c r="AA12" s="11">
        <f t="shared" si="0"/>
        <v>8.3333333333333301E-2</v>
      </c>
      <c r="AB12" s="11">
        <f t="shared" si="0"/>
        <v>8.6666666666666628E-2</v>
      </c>
      <c r="AC12" s="11">
        <f t="shared" si="0"/>
        <v>8.9999999999999955E-2</v>
      </c>
      <c r="AD12" s="11">
        <f t="shared" si="0"/>
        <v>9.3333333333333282E-2</v>
      </c>
      <c r="AE12" s="11">
        <f t="shared" si="0"/>
        <v>9.6666666666666609E-2</v>
      </c>
      <c r="AF12" s="11">
        <f t="shared" si="0"/>
        <v>9.9999999999999936E-2</v>
      </c>
    </row>
    <row r="13" spans="1:32" x14ac:dyDescent="0.25">
      <c r="A13" s="9" t="s">
        <v>8</v>
      </c>
      <c r="B13" s="12">
        <f>(B18/C8)*C2+C13</f>
        <v>299.99997763108735</v>
      </c>
      <c r="C13" s="12">
        <v>293.33331096442066</v>
      </c>
      <c r="D13" s="12">
        <v>286.6666443611611</v>
      </c>
      <c r="E13" s="12">
        <v>279.99997782112894</v>
      </c>
      <c r="F13" s="12">
        <v>273.33331134396514</v>
      </c>
      <c r="G13" s="12">
        <v>266.66664492913264</v>
      </c>
      <c r="H13" s="12">
        <v>259.99997857591751</v>
      </c>
      <c r="I13" s="12">
        <v>253.3333122834313</v>
      </c>
      <c r="J13" s="12">
        <v>246.66664605061328</v>
      </c>
      <c r="K13" s="12">
        <v>239.99997987623377</v>
      </c>
      <c r="L13" s="12">
        <v>233.33331375889719</v>
      </c>
      <c r="M13" s="12">
        <v>226.66664769704656</v>
      </c>
      <c r="N13" s="12">
        <v>219.9999816889673</v>
      </c>
      <c r="O13" s="12">
        <v>213.33331573279273</v>
      </c>
      <c r="P13" s="12">
        <v>206.66664982650872</v>
      </c>
      <c r="Q13" s="12">
        <v>199.99998396796005</v>
      </c>
      <c r="R13" s="12">
        <v>193.33331815485587</v>
      </c>
      <c r="S13" s="12">
        <v>186.6666523847768</v>
      </c>
      <c r="T13" s="12">
        <v>179.99998665518126</v>
      </c>
      <c r="U13" s="12">
        <v>173.33332096341309</v>
      </c>
      <c r="V13" s="12">
        <v>166.66665530670878</v>
      </c>
      <c r="W13" s="12">
        <v>159.9999896822055</v>
      </c>
      <c r="X13" s="12">
        <v>153.33332408694912</v>
      </c>
      <c r="Y13" s="12">
        <v>146.66665851790265</v>
      </c>
      <c r="Z13" s="12">
        <v>139.99999297195473</v>
      </c>
      <c r="AA13" s="12">
        <v>133.33332744592857</v>
      </c>
      <c r="AB13" s="12">
        <v>126.66666193659087</v>
      </c>
      <c r="AC13" s="12">
        <v>119.99999644066111</v>
      </c>
      <c r="AD13" s="12">
        <v>113.3333309548207</v>
      </c>
      <c r="AE13" s="12">
        <v>106.66666547572241</v>
      </c>
      <c r="AF13" s="12">
        <v>100</v>
      </c>
    </row>
    <row r="14" spans="1:32" x14ac:dyDescent="0.25">
      <c r="A14" s="9"/>
      <c r="B14" s="9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</row>
    <row r="15" spans="1:32" x14ac:dyDescent="0.25">
      <c r="A15" s="9" t="s">
        <v>14</v>
      </c>
      <c r="B15" s="9">
        <v>92000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</row>
    <row r="16" spans="1:32" x14ac:dyDescent="0.25">
      <c r="A16" s="9" t="s">
        <v>10</v>
      </c>
      <c r="B16" s="9">
        <v>100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</row>
    <row r="17" spans="1:32" x14ac:dyDescent="0.25">
      <c r="A17" s="9" t="s">
        <v>11</v>
      </c>
      <c r="B17" s="9"/>
      <c r="C17" s="17">
        <f>C13+(($C$8*$C$3)/($C$7*$C$6))*((D13-2*C13+B13)/($C$2^2))</f>
        <v>293.33331099612423</v>
      </c>
      <c r="D17" s="17">
        <f t="shared" ref="D17:AE17" si="1">D13+(($C$8*$C$3)/($C$7*$C$6))*((E13-2*D13+C13)/($C$2^2))</f>
        <v>286.6666443927748</v>
      </c>
      <c r="E17" s="17">
        <f t="shared" si="1"/>
        <v>279.99997785256312</v>
      </c>
      <c r="F17" s="17">
        <f t="shared" si="1"/>
        <v>273.33331137513079</v>
      </c>
      <c r="G17" s="17">
        <f t="shared" si="1"/>
        <v>266.66664495994132</v>
      </c>
      <c r="H17" s="17">
        <f t="shared" si="1"/>
        <v>259.99997860628196</v>
      </c>
      <c r="I17" s="17">
        <f t="shared" si="1"/>
        <v>253.3333123132654</v>
      </c>
      <c r="J17" s="17">
        <f t="shared" si="1"/>
        <v>246.66664607983253</v>
      </c>
      <c r="K17" s="17">
        <f t="shared" si="1"/>
        <v>239.99997990475524</v>
      </c>
      <c r="L17" s="17">
        <f t="shared" si="1"/>
        <v>233.33331378664016</v>
      </c>
      <c r="M17" s="17">
        <f t="shared" si="1"/>
        <v>226.66664772393224</v>
      </c>
      <c r="N17" s="17">
        <f t="shared" si="1"/>
        <v>219.99998171491964</v>
      </c>
      <c r="O17" s="17">
        <f t="shared" si="1"/>
        <v>213.33331575773801</v>
      </c>
      <c r="P17" s="17">
        <f t="shared" si="1"/>
        <v>206.66664985037639</v>
      </c>
      <c r="Q17" s="17">
        <f t="shared" si="1"/>
        <v>199.9999839906823</v>
      </c>
      <c r="R17" s="17">
        <f t="shared" si="1"/>
        <v>193.33331817636844</v>
      </c>
      <c r="S17" s="17">
        <f t="shared" si="1"/>
        <v>186.66665240501857</v>
      </c>
      <c r="T17" s="17">
        <f t="shared" si="1"/>
        <v>179.99998667409494</v>
      </c>
      <c r="U17" s="17">
        <f t="shared" si="1"/>
        <v>173.33332098094502</v>
      </c>
      <c r="V17" s="17">
        <f t="shared" si="1"/>
        <v>166.66665532280928</v>
      </c>
      <c r="W17" s="17">
        <f t="shared" si="1"/>
        <v>159.99998969682895</v>
      </c>
      <c r="X17" s="17">
        <f t="shared" si="1"/>
        <v>153.33332410005409</v>
      </c>
      <c r="Y17" s="17">
        <f t="shared" si="1"/>
        <v>146.66665852945192</v>
      </c>
      <c r="Z17" s="17">
        <f t="shared" si="1"/>
        <v>139.99999298191563</v>
      </c>
      <c r="AA17" s="17">
        <f t="shared" si="1"/>
        <v>133.33332745427279</v>
      </c>
      <c r="AB17" s="17">
        <f t="shared" si="1"/>
        <v>126.66666194329484</v>
      </c>
      <c r="AC17" s="17">
        <f t="shared" si="1"/>
        <v>119.99999644570579</v>
      </c>
      <c r="AD17" s="17">
        <f t="shared" si="1"/>
        <v>113.33333095819177</v>
      </c>
      <c r="AE17" s="17">
        <f t="shared" si="1"/>
        <v>106.66666547741035</v>
      </c>
      <c r="AF17" s="13"/>
    </row>
    <row r="18" spans="1:32" x14ac:dyDescent="0.25">
      <c r="A18" s="9" t="s">
        <v>13</v>
      </c>
      <c r="B18">
        <v>92000</v>
      </c>
      <c r="C18" s="18">
        <f>-$C$8*((C13-B13)/$C$2)</f>
        <v>92000.000000000247</v>
      </c>
      <c r="D18" s="18">
        <f t="shared" ref="D18:AE18" si="2">-$C$8*((D13-C13)/$C$2)</f>
        <v>91999.999124981885</v>
      </c>
      <c r="E18" s="18">
        <f t="shared" si="2"/>
        <v>91999.998252443896</v>
      </c>
      <c r="F18" s="18">
        <f t="shared" si="2"/>
        <v>91999.997384860442</v>
      </c>
      <c r="G18" s="18">
        <f t="shared" si="2"/>
        <v>91999.996524688366</v>
      </c>
      <c r="H18" s="18">
        <f t="shared" si="2"/>
        <v>91999.995674368853</v>
      </c>
      <c r="I18" s="18">
        <f t="shared" si="2"/>
        <v>91999.994836309721</v>
      </c>
      <c r="J18" s="18">
        <f t="shared" si="2"/>
        <v>91999.994012888623</v>
      </c>
      <c r="K18" s="18">
        <f t="shared" si="2"/>
        <v>91999.993206437299</v>
      </c>
      <c r="L18" s="18">
        <f t="shared" si="2"/>
        <v>91999.992419244736</v>
      </c>
      <c r="M18" s="18">
        <f t="shared" si="2"/>
        <v>91999.991653538746</v>
      </c>
      <c r="N18" s="18">
        <f t="shared" si="2"/>
        <v>91999.990911493791</v>
      </c>
      <c r="O18" s="18">
        <f t="shared" si="2"/>
        <v>91999.990195209044</v>
      </c>
      <c r="P18" s="18">
        <f t="shared" si="2"/>
        <v>91999.989506719328</v>
      </c>
      <c r="Q18" s="18">
        <f t="shared" si="2"/>
        <v>91999.988847971617</v>
      </c>
      <c r="R18" s="18">
        <f t="shared" si="2"/>
        <v>91999.988220837593</v>
      </c>
      <c r="S18" s="18">
        <f t="shared" si="2"/>
        <v>91999.987627091265</v>
      </c>
      <c r="T18" s="18">
        <f t="shared" si="2"/>
        <v>91999.987068418384</v>
      </c>
      <c r="U18" s="18">
        <f t="shared" si="2"/>
        <v>91999.986546400789</v>
      </c>
      <c r="V18" s="18">
        <f t="shared" si="2"/>
        <v>91999.986062519471</v>
      </c>
      <c r="W18" s="18">
        <f t="shared" si="2"/>
        <v>91999.985618145278</v>
      </c>
      <c r="X18" s="18">
        <f t="shared" si="2"/>
        <v>91999.985214537985</v>
      </c>
      <c r="Y18" s="18">
        <f t="shared" si="2"/>
        <v>91999.984852841313</v>
      </c>
      <c r="Z18" s="18">
        <f t="shared" si="2"/>
        <v>91999.984534081304</v>
      </c>
      <c r="AA18" s="18">
        <f t="shared" si="2"/>
        <v>91999.984259160876</v>
      </c>
      <c r="AB18" s="18">
        <f t="shared" si="2"/>
        <v>91999.984028860315</v>
      </c>
      <c r="AC18" s="18">
        <f t="shared" si="2"/>
        <v>91999.98384383072</v>
      </c>
      <c r="AD18" s="18">
        <f t="shared" si="2"/>
        <v>91999.983704597675</v>
      </c>
      <c r="AE18" s="18">
        <f t="shared" si="2"/>
        <v>91999.983611556323</v>
      </c>
      <c r="AF18" s="18">
        <f>-$C$8*((AF13-AE13)/$C$2)</f>
        <v>91999.983564969269</v>
      </c>
    </row>
  </sheetData>
  <conditionalFormatting sqref="B13:AF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RePack by Diakov</dc:creator>
  <cp:lastModifiedBy>RePack by Diakov</cp:lastModifiedBy>
  <dcterms:created xsi:type="dcterms:W3CDTF">2021-03-10T12:09:30Z</dcterms:created>
  <dcterms:modified xsi:type="dcterms:W3CDTF">2021-03-10T14:15:29Z</dcterms:modified>
</cp:coreProperties>
</file>